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" sheetId="1" state="visible" r:id="rId3"/>
    <sheet name="Test Cases" sheetId="2" state="visible" r:id="rId4"/>
    <sheet name="Bug Reports" sheetId="3" state="visible" r:id="rId5"/>
    <sheet name="Traceability Matrix" sheetId="4" state="visible" r:id="rId6"/>
    <sheet name="Execution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<sst xmlns="http://schemas.openxmlformats.org/spreadsheetml/2006/main" count="262" uniqueCount="185">
  <si>
    <t xml:space="preserve">Manual Testing Project — SauceDemo E-Commerce Application</t>
  </si>
  <si>
    <t xml:space="preserve">Application Under Test</t>
  </si>
  <si>
    <t xml:space="preserve">https://www.saucedemo.com</t>
  </si>
  <si>
    <t xml:space="preserve">Tester</t>
  </si>
  <si>
    <t xml:space="preserve">Jeevitha</t>
  </si>
  <si>
    <t xml:space="preserve">Objective</t>
  </si>
  <si>
    <t xml:space="preserve">Validate login, product listing, cart, and checkout functionality through manual black-box testing</t>
  </si>
  <si>
    <t xml:space="preserve">Test Approach</t>
  </si>
  <si>
    <t xml:space="preserve">Functional, boundary, and negative testing based on observed application behavior</t>
  </si>
  <si>
    <t xml:space="preserve">In Scope</t>
  </si>
  <si>
    <t xml:space="preserve">Login module | Product listing &amp; sorting | Cart operations | Checkout flow</t>
  </si>
  <si>
    <t xml:space="preserve">Out of Scope</t>
  </si>
  <si>
    <t xml:space="preserve">Performance testing | Security testing | API testing | Cross-browser matrix</t>
  </si>
  <si>
    <t xml:space="preserve">Test Environment</t>
  </si>
  <si>
    <t xml:space="preserve">Chrome (latest), Windows 10/11, https://www.saucedemo.com</t>
  </si>
  <si>
    <t xml:space="preserve">Login Credentials (provided by app)</t>
  </si>
  <si>
    <t xml:space="preserve">standard_user / locked_out_user / problem_user / performance_glitch_user — all use password: secret_sauce</t>
  </si>
  <si>
    <t xml:space="preserve">Deliverables</t>
  </si>
  <si>
    <t xml:space="preserve">Test Case Sheet, Bug Report Log, Traceability Summary, Test Execution Summary</t>
  </si>
  <si>
    <t xml:space="preserve">How to use this workbook</t>
  </si>
  <si>
    <t xml:space="preserve">1. Go to 'Test Cases' tab. Execute each test case manually on saucedemo.com and fill in Actual Result, Status (Pass/Fail), and Date.</t>
  </si>
  <si>
    <t xml:space="preserve">2. Whenever a test case Fails or you notice unexpected behavior, log it in the 'Bug Reports' tab with full repro steps.</t>
  </si>
  <si>
    <t xml:space="preserve">3. Known intentional bugs exist under the 'problem_user' login — use this account specifically to find and log defects.</t>
  </si>
  <si>
    <t xml:space="preserve">4. Once execution is complete, fill in 'Execution Summary' tab with pass/fail counts.</t>
  </si>
  <si>
    <t xml:space="preserve">5. Keep this file + a short write-up as your portfolio artifact. Be ready to explain your test design thinking in interviews, not just show the sheet.</t>
  </si>
  <si>
    <t xml:space="preserve">TC ID</t>
  </si>
  <si>
    <t xml:space="preserve">Module</t>
  </si>
  <si>
    <t xml:space="preserve">Test Scenario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</si>
  <si>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</si>
  <si>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</si>
  <si>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</si>
  <si>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</si>
  <si>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</si>
  <si>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</si>
  <si>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Executed By</t>
  </si>
  <si>
    <t xml:space="preserve">Date</t>
  </si>
  <si>
    <t xml:space="preserve">Comments</t>
  </si>
  <si>
    <t xml:space="preserve">TC_LOGIN_001</t>
  </si>
  <si>
    <t xml:space="preserve">Login</t>
  </si>
  <si>
    <t xml:space="preserve">Verify login with valid credentials</t>
  </si>
  <si>
    <t xml:space="preserve">1. Go to saucedemo.com
2. Enter username: standard_user
3. Enter password: secret_sauce
4. Click Login</t>
  </si>
  <si>
    <t xml:space="preserve">standard_user / secret_sauce</t>
  </si>
  <si>
    <t xml:space="preserve">User is redirected to Products page</t>
  </si>
  <si>
    <t xml:space="preserve">High</t>
  </si>
  <si>
    <t xml:space="preserve">TC_LOGIN_002</t>
  </si>
  <si>
    <t xml:space="preserve">Verify login with locked-out user</t>
  </si>
  <si>
    <t xml:space="preserve">1. Go to saucedemo.com
2. Enter username: locked_out_user
3. Enter password: secret_sauce
4. Click Login</t>
  </si>
  <si>
    <t xml:space="preserve">locked_out_user / secret_sauce</t>
  </si>
  <si>
    <t xml:space="preserve">Error message: 'Sorry, this user has been locked out.'</t>
  </si>
  <si>
    <t xml:space="preserve">TC_LOGIN_003</t>
  </si>
  <si>
    <t xml:space="preserve">Verify login with invalid password</t>
  </si>
  <si>
    <t xml:space="preserve">1. Go to saucedemo.com
2. Enter username: standard_user
3. Enter password: wrongpass
4. Click Login</t>
  </si>
  <si>
    <t xml:space="preserve">standard_user / wrongpass</t>
  </si>
  <si>
    <t xml:space="preserve">Error message: 'Username and password do not match'</t>
  </si>
  <si>
    <t xml:space="preserve">TC_LOGIN_004</t>
  </si>
  <si>
    <t xml:space="preserve">Verify login with empty username and password</t>
  </si>
  <si>
    <t xml:space="preserve">1. Go to saucedemo.com
2. Leave both fields empty
3. Click Login</t>
  </si>
  <si>
    <t xml:space="preserve">blank / blank</t>
  </si>
  <si>
    <t xml:space="preserve">Error message: 'Username is required'</t>
  </si>
  <si>
    <t xml:space="preserve">Medium</t>
  </si>
  <si>
    <t xml:space="preserve">TC_LOGIN_005</t>
  </si>
  <si>
    <t xml:space="preserve">Verify login with empty password only</t>
  </si>
  <si>
    <t xml:space="preserve">1. Enter username: standard_user
2. Leave password blank
3. Click Login</t>
  </si>
  <si>
    <t xml:space="preserve">standard_user / blank</t>
  </si>
  <si>
    <t xml:space="preserve">Error message: 'Password is required'</t>
  </si>
  <si>
    <t xml:space="preserve">TC_PROD_001</t>
  </si>
  <si>
    <t xml:space="preserve">Product Listing</t>
  </si>
  <si>
    <t xml:space="preserve">Verify all products are displayed on Products page</t>
  </si>
  <si>
    <t xml:space="preserve">1. Login as standard_user
2. Observe Products page</t>
  </si>
  <si>
    <t xml:space="preserve">standard_user</t>
  </si>
  <si>
    <t xml:space="preserve">6 products are displayed with name, price, image, and 'Add to cart' button</t>
  </si>
  <si>
    <t xml:space="preserve">TC_PROD_002</t>
  </si>
  <si>
    <t xml:space="preserve">Verify sorting by Price: Low to High</t>
  </si>
  <si>
    <t xml:space="preserve">1. Login as standard_user
2. Select 'Price (low to high)' from sort dropdown</t>
  </si>
  <si>
    <t xml:space="preserve">Products are reordered in ascending price order</t>
  </si>
  <si>
    <t xml:space="preserve">TC_PROD_003</t>
  </si>
  <si>
    <t xml:space="preserve">Verify sorting by Name: Z to A</t>
  </si>
  <si>
    <t xml:space="preserve">1. Login as standard_user
2. Select 'Name (Z to A)' from sort dropdown</t>
  </si>
  <si>
    <t xml:space="preserve">Products are reordered in reverse alphabetical order</t>
  </si>
  <si>
    <t xml:space="preserve">Low</t>
  </si>
  <si>
    <t xml:space="preserve">TC_PROD_004</t>
  </si>
  <si>
    <t xml:space="preserve">Verify product image consistency for problem_user</t>
  </si>
  <si>
    <t xml:space="preserve">1. Login as problem_user
2. Observe product images</t>
  </si>
  <si>
    <t xml:space="preserve">problem_user / secret_sauce</t>
  </si>
  <si>
    <t xml:space="preserve">Each product should display its own unique image</t>
  </si>
  <si>
    <t xml:space="preserve">Known intentional bug — verify</t>
  </si>
  <si>
    <t xml:space="preserve">TC_CART_001</t>
  </si>
  <si>
    <t xml:space="preserve">Cart</t>
  </si>
  <si>
    <t xml:space="preserve">Verify adding a single product to cart</t>
  </si>
  <si>
    <t xml:space="preserve">1. Login as standard_user
2. Click 'Add to cart' on any product</t>
  </si>
  <si>
    <t xml:space="preserve">Cart icon updates to show '1'; button changes to 'Remove'</t>
  </si>
  <si>
    <t xml:space="preserve">TC_CART_002</t>
  </si>
  <si>
    <t xml:space="preserve">Verify adding multiple products to cart</t>
  </si>
  <si>
    <t xml:space="preserve">1. Login as standard_user
2. Add 3 different products to cart</t>
  </si>
  <si>
    <t xml:space="preserve">Cart icon shows '3'; all 3 items appear in cart page</t>
  </si>
  <si>
    <t xml:space="preserve">TC_CART_003</t>
  </si>
  <si>
    <t xml:space="preserve">Verify removing a product from cart</t>
  </si>
  <si>
    <t xml:space="preserve">1. Add a product to cart
2. Go to cart page
3. Click Remove</t>
  </si>
  <si>
    <t xml:space="preserve">Product is removed; cart count decreases</t>
  </si>
  <si>
    <t xml:space="preserve">TC_CART_004</t>
  </si>
  <si>
    <t xml:space="preserve">Verify cart persists after navigating back to products</t>
  </si>
  <si>
    <t xml:space="preserve">1. Add product to cart
2. Click 'Continue Shopping'
3. Return to cart</t>
  </si>
  <si>
    <t xml:space="preserve">Previously added item still present in cart</t>
  </si>
  <si>
    <t xml:space="preserve">TC_CART_005</t>
  </si>
  <si>
    <t xml:space="preserve">Verify empty cart shows no items</t>
  </si>
  <si>
    <t xml:space="preserve">1. Login
2. Navigate directly to cart without adding items</t>
  </si>
  <si>
    <t xml:space="preserve">Cart page displays with zero items and no errors</t>
  </si>
  <si>
    <t xml:space="preserve">TC_CHK_001</t>
  </si>
  <si>
    <t xml:space="preserve">Checkout</t>
  </si>
  <si>
    <t xml:space="preserve">Verify checkout with valid information</t>
  </si>
  <si>
    <t xml:space="preserve">1. Add item to cart
2. Click Checkout
3. Enter First Name, Last Name, Zip
4. Click Continue
5. Click Finish</t>
  </si>
  <si>
    <t xml:space="preserve">First: Jeevitha, Last: N, Zip: 570001</t>
  </si>
  <si>
    <t xml:space="preserve">Order completes with 'Thank you for your order!' confirmation</t>
  </si>
  <si>
    <t xml:space="preserve">TC_CHK_002</t>
  </si>
  <si>
    <t xml:space="preserve">Verify checkout with missing First Name</t>
  </si>
  <si>
    <t xml:space="preserve">1. Add item to cart
2. Click Checkout
3. Leave First Name blank
4. Click Continue</t>
  </si>
  <si>
    <t xml:space="preserve">First: blank, Last: N, Zip: 570001</t>
  </si>
  <si>
    <t xml:space="preserve">Error message: 'First Name is required'</t>
  </si>
  <si>
    <t xml:space="preserve">TC_CHK_003</t>
  </si>
  <si>
    <t xml:space="preserve">Verify checkout with missing Zip/Postal Code</t>
  </si>
  <si>
    <t xml:space="preserve">1. Add item to cart
2. Click Checkout
3. Leave Zip blank
4. Click Continue</t>
  </si>
  <si>
    <t xml:space="preserve">First: Jeevitha, Last: N, Zip: blank</t>
  </si>
  <si>
    <t xml:space="preserve">Error message: 'Postal Code is required'</t>
  </si>
  <si>
    <t xml:space="preserve">TC_CHK_004</t>
  </si>
  <si>
    <t xml:space="preserve">Verify order summary displays correct item total and tax</t>
  </si>
  <si>
    <t xml:space="preserve">1. Add 2 items to cart
2. Proceed to checkout step 2 (Overview)</t>
  </si>
  <si>
    <t xml:space="preserve">Item total, tax, and total match sum of item prices + tax</t>
  </si>
  <si>
    <t xml:space="preserve">TC_CHK_005</t>
  </si>
  <si>
    <t xml:space="preserve">Verify Cancel button on checkout returns to cart</t>
  </si>
  <si>
    <t xml:space="preserve">1. Start checkout
2. Click Cancel on step 1</t>
  </si>
  <si>
    <t xml:space="preserve">User is returned to Cart page</t>
  </si>
  <si>
    <t xml:space="preserve">TC_CHK_006</t>
  </si>
  <si>
    <t xml:space="preserve">Verify 'Back Home' button after order completion</t>
  </si>
  <si>
    <t xml:space="preserve">1. Complete a full order
2. Click 'Back Home' on confirmation page</t>
  </si>
  <si>
    <t xml:space="preserve">User is redirected to Products page with empty cart</t>
  </si>
  <si>
    <t xml:space="preserve">Bug ID</t>
  </si>
  <si>
    <t xml:space="preserve">Title</t>
  </si>
  <si>
    <t xml:space="preserve">Related TC ID</t>
  </si>
  <si>
    <t xml:space="preserve">Steps to Reproduce</t>
  </si>
  <si>
    <t xml:space="preserve">Severity</t>
  </si>
  <si>
    <t xml:space="preserve">Reported By</t>
  </si>
  <si>
    <t xml:space="preserve">BUG_001</t>
  </si>
  <si>
    <t xml:space="preserve">Product images inconsistent for problem_user</t>
  </si>
  <si>
    <t xml:space="preserve">1. Login as problem_user / secret_sauce
2. Observe product images on Products page</t>
  </si>
  <si>
    <t xml:space="preserve">Each product displays its own correct, unique image</t>
  </si>
  <si>
    <t xml:space="preserve">All products display the same incorrect image (dog food image repeated)</t>
  </si>
  <si>
    <t xml:space="preserve">Open</t>
  </si>
  <si>
    <t xml:space="preserve">Req ID</t>
  </si>
  <si>
    <t xml:space="preserve">Requirement</t>
  </si>
  <si>
    <t xml:space="preserve">Test Case ID(s)</t>
  </si>
  <si>
    <t xml:space="preserve">REQ_01</t>
  </si>
  <si>
    <t xml:space="preserve">User can log in with valid credentials</t>
  </si>
  <si>
    <t xml:space="preserve">REQ_02</t>
  </si>
  <si>
    <t xml:space="preserve">System rejects invalid/locked/empty login attempts</t>
  </si>
  <si>
    <t xml:space="preserve">TC_LOGIN_002, TC_LOGIN_003, TC_LOGIN_004, TC_LOGIN_005</t>
  </si>
  <si>
    <t xml:space="preserve">REQ_03</t>
  </si>
  <si>
    <t xml:space="preserve">All products display correctly on listing page</t>
  </si>
  <si>
    <t xml:space="preserve">TC_PROD_001, TC_PROD_004</t>
  </si>
  <si>
    <t xml:space="preserve">REQ_04</t>
  </si>
  <si>
    <t xml:space="preserve">Products can be sorted by price and name</t>
  </si>
  <si>
    <t xml:space="preserve">TC_PROD_002, TC_PROD_003</t>
  </si>
  <si>
    <t xml:space="preserve">REQ_05</t>
  </si>
  <si>
    <t xml:space="preserve">User can add/remove products from cart</t>
  </si>
  <si>
    <t xml:space="preserve">TC_CART_001, TC_CART_002, TC_CART_003</t>
  </si>
  <si>
    <t xml:space="preserve">REQ_06</t>
  </si>
  <si>
    <t xml:space="preserve">Cart state persists across navigation</t>
  </si>
  <si>
    <t xml:space="preserve">TC_CART_004, TC_CART_005</t>
  </si>
  <si>
    <t xml:space="preserve">REQ_07</t>
  </si>
  <si>
    <t xml:space="preserve">Checkout requires all mandatory fields</t>
  </si>
  <si>
    <t xml:space="preserve">TC_CHK_002, TC_CHK_003</t>
  </si>
  <si>
    <t xml:space="preserve">REQ_08</t>
  </si>
  <si>
    <t xml:space="preserve">Order total and tax calculate correctly</t>
  </si>
  <si>
    <t xml:space="preserve">REQ_09</t>
  </si>
  <si>
    <t xml:space="preserve">User can complete or cancel an order</t>
  </si>
  <si>
    <t xml:space="preserve">TC_CHK_001, TC_CHK_005, TC_CHK_006</t>
  </si>
  <si>
    <t xml:space="preserve">Test Execution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</si>
  <si>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</si>
  <si>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</si>
  <si>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</si>
  <si>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</si>
  <si>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Not Executed</t>
  </si>
  <si>
    <t xml:space="preserve">Pass %</t>
  </si>
  <si>
    <t xml:space="preserve">Total Bugs Logged</t>
  </si>
  <si>
    <t xml:space="preserve">Critical/High Bugs</t>
  </si>
  <si>
    <t xml:space="preserve">Note: These are live formulas — values update automatically as you fill in the Test Cases and Bug Reports tabs.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</si>
</sst>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  <c r="B1" s="1"/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30" hidden="false" customHeight="true" outlineLevel="0" collapsed="false">
      <c r="A6" s="2" t="s">
        <v>7</v>
      </c>
      <c r="B6" s="3" t="s">
        <v>8</v>
      </c>
    </row>
    <row r="7" customFormat="false" ht="30" hidden="false" customHeight="true" outlineLevel="0" collapsed="false">
      <c r="A7" s="2" t="s">
        <v>9</v>
      </c>
      <c r="B7" s="3" t="s">
        <v>10</v>
      </c>
    </row>
    <row r="8" customFormat="false" ht="30" hidden="false" customHeight="true" outlineLevel="0" collapsed="false">
      <c r="A8" s="2" t="s">
        <v>11</v>
      </c>
      <c r="B8" s="3" t="s">
        <v>12</v>
      </c>
    </row>
    <row r="9" customFormat="false" ht="30" hidden="false" customHeight="true" outlineLevel="0" collapsed="false">
      <c r="A9" s="2" t="s">
        <v>13</v>
      </c>
      <c r="B9" s="3" t="s">
        <v>14</v>
      </c>
    </row>
    <row r="10" customFormat="false" ht="30" hidden="false" customHeight="true" outlineLevel="0" collapsed="false">
      <c r="A10" s="2" t="s">
        <v>15</v>
      </c>
      <c r="B10" s="3" t="s">
        <v>16</v>
      </c>
    </row>
    <row r="11" customFormat="false" ht="30" hidden="false" customHeight="true" outlineLevel="0" collapsed="false">
      <c r="A11" s="2" t="s">
        <v>17</v>
      </c>
      <c r="B11" s="3" t="s">
        <v>18</v>
      </c>
    </row>
    <row r="14" customFormat="false" ht="15" hidden="false" customHeight="false" outlineLevel="0" collapsed="false">
      <c r="A14" s="4" t="s">
        <v>19</v>
      </c>
    </row>
    <row r="15" customFormat="false" ht="27.75" hidden="false" customHeight="true" outlineLevel="0" collapsed="false">
      <c r="A15" s="5" t="s">
        <v>20</v>
      </c>
      <c r="B15" s="5"/>
    </row>
    <row r="16" customFormat="false" ht="27.75" hidden="false" customHeight="true" outlineLevel="0" collapsed="false">
      <c r="A16" s="5" t="s">
        <v>21</v>
      </c>
      <c r="B16" s="5"/>
    </row>
    <row r="17" customFormat="false" ht="27.75" hidden="false" customHeight="true" outlineLevel="0" collapsed="false">
      <c r="A17" s="5" t="s">
        <v>22</v>
      </c>
      <c r="B17" s="5"/>
    </row>
    <row r="18" customFormat="false" ht="27.75" hidden="false" customHeight="true" outlineLevel="0" collapsed="false">
      <c r="A18" s="5" t="s">
        <v>23</v>
      </c>
      <c r="B18" s="5"/>
    </row>
    <row r="19" customFormat="false" ht="27.75" hidden="false" customHeight="true" outlineLevel="0" collapsed="false">
      <c r="A19" s="5" t="s">
        <v>24</v>
      </c>
      <c r="B19" s="5"/>
    </row>
  </sheetData>
  <mergeCells count="6">
    <mergeCell ref="A1:B1"/>
    <mergeCell ref="A15:B15"/>
    <mergeCell ref="A16:B16"/>
    <mergeCell ref="A17:B17"/>
    <mergeCell ref="A18:B18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20"/>
  </cols>
  <sheetData>
    <row r="1" customFormat="false" ht="26.85" hidden="false" customHeight="false" outlineLevel="0" collapsed="false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</row>
    <row r="2" customFormat="false" ht="60" hidden="false" customHeight="tru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/>
      <c r="H2" s="7"/>
      <c r="I2" s="7" t="s">
        <v>43</v>
      </c>
      <c r="J2" s="7" t="s">
        <v>4</v>
      </c>
      <c r="K2" s="7"/>
      <c r="L2" s="7"/>
    </row>
    <row r="3" customFormat="false" ht="60" hidden="false" customHeight="true" outlineLevel="0" collapsed="false">
      <c r="A3" s="7" t="s">
        <v>44</v>
      </c>
      <c r="B3" s="7" t="s">
        <v>38</v>
      </c>
      <c r="C3" s="7" t="s">
        <v>45</v>
      </c>
      <c r="D3" s="7" t="s">
        <v>46</v>
      </c>
      <c r="E3" s="7" t="s">
        <v>47</v>
      </c>
      <c r="F3" s="7" t="s">
        <v>48</v>
      </c>
      <c r="G3" s="7"/>
      <c r="H3" s="7"/>
      <c r="I3" s="7" t="s">
        <v>43</v>
      </c>
      <c r="J3" s="7" t="s">
        <v>4</v>
      </c>
      <c r="K3" s="7"/>
      <c r="L3" s="7"/>
    </row>
    <row r="4" customFormat="false" ht="60" hidden="false" customHeight="true" outlineLevel="0" collapsed="false">
      <c r="A4" s="7" t="s">
        <v>49</v>
      </c>
      <c r="B4" s="7" t="s">
        <v>38</v>
      </c>
      <c r="C4" s="7" t="s">
        <v>50</v>
      </c>
      <c r="D4" s="7" t="s">
        <v>51</v>
      </c>
      <c r="E4" s="7" t="s">
        <v>52</v>
      </c>
      <c r="F4" s="7" t="s">
        <v>53</v>
      </c>
      <c r="G4" s="7"/>
      <c r="H4" s="7"/>
      <c r="I4" s="7" t="s">
        <v>43</v>
      </c>
      <c r="J4" s="7" t="s">
        <v>4</v>
      </c>
      <c r="K4" s="7"/>
      <c r="L4" s="7"/>
    </row>
    <row r="5" customFormat="false" ht="60" hidden="false" customHeight="true" outlineLevel="0" collapsed="false">
      <c r="A5" s="7" t="s">
        <v>54</v>
      </c>
      <c r="B5" s="7" t="s">
        <v>38</v>
      </c>
      <c r="C5" s="7" t="s">
        <v>55</v>
      </c>
      <c r="D5" s="7" t="s">
        <v>56</v>
      </c>
      <c r="E5" s="7" t="s">
        <v>57</v>
      </c>
      <c r="F5" s="7" t="s">
        <v>58</v>
      </c>
      <c r="G5" s="7"/>
      <c r="H5" s="7"/>
      <c r="I5" s="7" t="s">
        <v>59</v>
      </c>
      <c r="J5" s="7" t="s">
        <v>4</v>
      </c>
      <c r="K5" s="7"/>
      <c r="L5" s="7"/>
    </row>
    <row r="6" customFormat="false" ht="60" hidden="false" customHeight="true" outlineLevel="0" collapsed="false">
      <c r="A6" s="7" t="s">
        <v>60</v>
      </c>
      <c r="B6" s="7" t="s">
        <v>38</v>
      </c>
      <c r="C6" s="7" t="s">
        <v>61</v>
      </c>
      <c r="D6" s="7" t="s">
        <v>62</v>
      </c>
      <c r="E6" s="7" t="s">
        <v>63</v>
      </c>
      <c r="F6" s="7" t="s">
        <v>64</v>
      </c>
      <c r="G6" s="7"/>
      <c r="H6" s="7"/>
      <c r="I6" s="7" t="s">
        <v>59</v>
      </c>
      <c r="J6" s="7" t="s">
        <v>4</v>
      </c>
      <c r="K6" s="7"/>
      <c r="L6" s="7"/>
    </row>
    <row r="7" customFormat="false" ht="60" hidden="false" customHeight="true" outlineLevel="0" collapsed="false">
      <c r="A7" s="7" t="s">
        <v>65</v>
      </c>
      <c r="B7" s="7" t="s">
        <v>66</v>
      </c>
      <c r="C7" s="7" t="s">
        <v>67</v>
      </c>
      <c r="D7" s="7" t="s">
        <v>68</v>
      </c>
      <c r="E7" s="7" t="s">
        <v>69</v>
      </c>
      <c r="F7" s="7" t="s">
        <v>70</v>
      </c>
      <c r="G7" s="7"/>
      <c r="H7" s="7"/>
      <c r="I7" s="7" t="s">
        <v>59</v>
      </c>
      <c r="J7" s="7" t="s">
        <v>4</v>
      </c>
      <c r="K7" s="7"/>
      <c r="L7" s="7"/>
    </row>
    <row r="8" customFormat="false" ht="60" hidden="false" customHeight="true" outlineLevel="0" collapsed="false">
      <c r="A8" s="7" t="s">
        <v>71</v>
      </c>
      <c r="B8" s="7" t="s">
        <v>66</v>
      </c>
      <c r="C8" s="7" t="s">
        <v>72</v>
      </c>
      <c r="D8" s="7" t="s">
        <v>73</v>
      </c>
      <c r="E8" s="7" t="s">
        <v>69</v>
      </c>
      <c r="F8" s="7" t="s">
        <v>74</v>
      </c>
      <c r="G8" s="7"/>
      <c r="H8" s="7"/>
      <c r="I8" s="7" t="s">
        <v>59</v>
      </c>
      <c r="J8" s="7" t="s">
        <v>4</v>
      </c>
      <c r="K8" s="7"/>
      <c r="L8" s="7"/>
    </row>
    <row r="9" customFormat="false" ht="60" hidden="false" customHeight="true" outlineLevel="0" collapsed="false">
      <c r="A9" s="7" t="s">
        <v>75</v>
      </c>
      <c r="B9" s="7" t="s">
        <v>66</v>
      </c>
      <c r="C9" s="7" t="s">
        <v>76</v>
      </c>
      <c r="D9" s="7" t="s">
        <v>77</v>
      </c>
      <c r="E9" s="7" t="s">
        <v>69</v>
      </c>
      <c r="F9" s="7" t="s">
        <v>78</v>
      </c>
      <c r="G9" s="7"/>
      <c r="H9" s="7"/>
      <c r="I9" s="7" t="s">
        <v>79</v>
      </c>
      <c r="J9" s="7" t="s">
        <v>4</v>
      </c>
      <c r="K9" s="7"/>
      <c r="L9" s="7"/>
    </row>
    <row r="10" customFormat="false" ht="60" hidden="false" customHeight="true" outlineLevel="0" collapsed="false">
      <c r="A10" s="7" t="s">
        <v>80</v>
      </c>
      <c r="B10" s="7" t="s">
        <v>66</v>
      </c>
      <c r="C10" s="7" t="s">
        <v>81</v>
      </c>
      <c r="D10" s="7" t="s">
        <v>82</v>
      </c>
      <c r="E10" s="7" t="s">
        <v>83</v>
      </c>
      <c r="F10" s="7" t="s">
        <v>84</v>
      </c>
      <c r="G10" s="7"/>
      <c r="H10" s="7"/>
      <c r="I10" s="7" t="s">
        <v>59</v>
      </c>
      <c r="J10" s="7" t="s">
        <v>4</v>
      </c>
      <c r="K10" s="7"/>
      <c r="L10" s="7" t="s">
        <v>85</v>
      </c>
    </row>
    <row r="11" customFormat="false" ht="60" hidden="false" customHeight="true" outlineLevel="0" collapsed="false">
      <c r="A11" s="7" t="s">
        <v>86</v>
      </c>
      <c r="B11" s="7" t="s">
        <v>87</v>
      </c>
      <c r="C11" s="7" t="s">
        <v>88</v>
      </c>
      <c r="D11" s="7" t="s">
        <v>89</v>
      </c>
      <c r="E11" s="7" t="s">
        <v>69</v>
      </c>
      <c r="F11" s="7" t="s">
        <v>90</v>
      </c>
      <c r="G11" s="7"/>
      <c r="H11" s="7"/>
      <c r="I11" s="7" t="s">
        <v>43</v>
      </c>
      <c r="J11" s="7" t="s">
        <v>4</v>
      </c>
      <c r="K11" s="7"/>
      <c r="L11" s="7"/>
    </row>
    <row r="12" customFormat="false" ht="60" hidden="false" customHeight="true" outlineLevel="0" collapsed="false">
      <c r="A12" s="7" t="s">
        <v>91</v>
      </c>
      <c r="B12" s="7" t="s">
        <v>87</v>
      </c>
      <c r="C12" s="7" t="s">
        <v>92</v>
      </c>
      <c r="D12" s="7" t="s">
        <v>93</v>
      </c>
      <c r="E12" s="7" t="s">
        <v>69</v>
      </c>
      <c r="F12" s="7" t="s">
        <v>94</v>
      </c>
      <c r="G12" s="7"/>
      <c r="H12" s="7"/>
      <c r="I12" s="7" t="s">
        <v>43</v>
      </c>
      <c r="J12" s="7" t="s">
        <v>4</v>
      </c>
      <c r="K12" s="7"/>
      <c r="L12" s="7"/>
    </row>
    <row r="13" customFormat="false" ht="60" hidden="false" customHeight="true" outlineLevel="0" collapsed="false">
      <c r="A13" s="7" t="s">
        <v>95</v>
      </c>
      <c r="B13" s="7" t="s">
        <v>87</v>
      </c>
      <c r="C13" s="7" t="s">
        <v>96</v>
      </c>
      <c r="D13" s="7" t="s">
        <v>97</v>
      </c>
      <c r="E13" s="7" t="s">
        <v>69</v>
      </c>
      <c r="F13" s="7" t="s">
        <v>98</v>
      </c>
      <c r="G13" s="7"/>
      <c r="H13" s="7"/>
      <c r="I13" s="7" t="s">
        <v>43</v>
      </c>
      <c r="J13" s="7" t="s">
        <v>4</v>
      </c>
      <c r="K13" s="7"/>
      <c r="L13" s="7"/>
    </row>
    <row r="14" customFormat="false" ht="60" hidden="false" customHeight="true" outlineLevel="0" collapsed="false">
      <c r="A14" s="7" t="s">
        <v>99</v>
      </c>
      <c r="B14" s="7" t="s">
        <v>87</v>
      </c>
      <c r="C14" s="7" t="s">
        <v>100</v>
      </c>
      <c r="D14" s="7" t="s">
        <v>101</v>
      </c>
      <c r="E14" s="7" t="s">
        <v>69</v>
      </c>
      <c r="F14" s="7" t="s">
        <v>102</v>
      </c>
      <c r="G14" s="7"/>
      <c r="H14" s="7"/>
      <c r="I14" s="7" t="s">
        <v>59</v>
      </c>
      <c r="J14" s="7" t="s">
        <v>4</v>
      </c>
      <c r="K14" s="7"/>
      <c r="L14" s="7"/>
    </row>
    <row r="15" customFormat="false" ht="60" hidden="false" customHeight="true" outlineLevel="0" collapsed="false">
      <c r="A15" s="7" t="s">
        <v>103</v>
      </c>
      <c r="B15" s="7" t="s">
        <v>87</v>
      </c>
      <c r="C15" s="7" t="s">
        <v>104</v>
      </c>
      <c r="D15" s="7" t="s">
        <v>105</v>
      </c>
      <c r="E15" s="7" t="s">
        <v>69</v>
      </c>
      <c r="F15" s="7" t="s">
        <v>106</v>
      </c>
      <c r="G15" s="7"/>
      <c r="H15" s="7"/>
      <c r="I15" s="7" t="s">
        <v>79</v>
      </c>
      <c r="J15" s="7" t="s">
        <v>4</v>
      </c>
      <c r="K15" s="7"/>
      <c r="L15" s="7"/>
    </row>
    <row r="16" customFormat="false" ht="60" hidden="false" customHeight="true" outlineLevel="0" collapsed="false">
      <c r="A16" s="7" t="s">
        <v>107</v>
      </c>
      <c r="B16" s="7" t="s">
        <v>108</v>
      </c>
      <c r="C16" s="7" t="s">
        <v>109</v>
      </c>
      <c r="D16" s="7" t="s">
        <v>110</v>
      </c>
      <c r="E16" s="7" t="s">
        <v>111</v>
      </c>
      <c r="F16" s="7" t="s">
        <v>112</v>
      </c>
      <c r="G16" s="7"/>
      <c r="H16" s="7"/>
      <c r="I16" s="7" t="s">
        <v>43</v>
      </c>
      <c r="J16" s="7" t="s">
        <v>4</v>
      </c>
      <c r="K16" s="7"/>
      <c r="L16" s="7"/>
    </row>
    <row r="17" customFormat="false" ht="60" hidden="false" customHeight="true" outlineLevel="0" collapsed="false">
      <c r="A17" s="7" t="s">
        <v>113</v>
      </c>
      <c r="B17" s="7" t="s">
        <v>108</v>
      </c>
      <c r="C17" s="7" t="s">
        <v>114</v>
      </c>
      <c r="D17" s="7" t="s">
        <v>115</v>
      </c>
      <c r="E17" s="7" t="s">
        <v>116</v>
      </c>
      <c r="F17" s="7" t="s">
        <v>117</v>
      </c>
      <c r="G17" s="7"/>
      <c r="H17" s="7"/>
      <c r="I17" s="7" t="s">
        <v>43</v>
      </c>
      <c r="J17" s="7" t="s">
        <v>4</v>
      </c>
      <c r="K17" s="7"/>
      <c r="L17" s="7"/>
    </row>
    <row r="18" customFormat="false" ht="60" hidden="false" customHeight="true" outlineLevel="0" collapsed="false">
      <c r="A18" s="7" t="s">
        <v>118</v>
      </c>
      <c r="B18" s="7" t="s">
        <v>108</v>
      </c>
      <c r="C18" s="7" t="s">
        <v>119</v>
      </c>
      <c r="D18" s="7" t="s">
        <v>120</v>
      </c>
      <c r="E18" s="7" t="s">
        <v>121</v>
      </c>
      <c r="F18" s="7" t="s">
        <v>122</v>
      </c>
      <c r="G18" s="7"/>
      <c r="H18" s="7"/>
      <c r="I18" s="7" t="s">
        <v>59</v>
      </c>
      <c r="J18" s="7" t="s">
        <v>4</v>
      </c>
      <c r="K18" s="7"/>
      <c r="L18" s="7"/>
    </row>
    <row r="19" customFormat="false" ht="60" hidden="false" customHeight="true" outlineLevel="0" collapsed="false">
      <c r="A19" s="7" t="s">
        <v>123</v>
      </c>
      <c r="B19" s="7" t="s">
        <v>108</v>
      </c>
      <c r="C19" s="7" t="s">
        <v>124</v>
      </c>
      <c r="D19" s="7" t="s">
        <v>125</v>
      </c>
      <c r="E19" s="7" t="s">
        <v>69</v>
      </c>
      <c r="F19" s="7" t="s">
        <v>126</v>
      </c>
      <c r="G19" s="7"/>
      <c r="H19" s="7"/>
      <c r="I19" s="7" t="s">
        <v>43</v>
      </c>
      <c r="J19" s="7" t="s">
        <v>4</v>
      </c>
      <c r="K19" s="7"/>
      <c r="L19" s="7"/>
    </row>
    <row r="20" customFormat="false" ht="60" hidden="false" customHeight="true" outlineLevel="0" collapsed="false">
      <c r="A20" s="7" t="s">
        <v>127</v>
      </c>
      <c r="B20" s="7" t="s">
        <v>108</v>
      </c>
      <c r="C20" s="7" t="s">
        <v>128</v>
      </c>
      <c r="D20" s="7" t="s">
        <v>129</v>
      </c>
      <c r="E20" s="7" t="s">
        <v>69</v>
      </c>
      <c r="F20" s="7" t="s">
        <v>130</v>
      </c>
      <c r="G20" s="7"/>
      <c r="H20" s="7"/>
      <c r="I20" s="7" t="s">
        <v>79</v>
      </c>
      <c r="J20" s="7" t="s">
        <v>4</v>
      </c>
      <c r="K20" s="7"/>
      <c r="L20" s="7"/>
    </row>
    <row r="21" customFormat="false" ht="60" hidden="false" customHeight="true" outlineLevel="0" collapsed="false">
      <c r="A21" s="7" t="s">
        <v>131</v>
      </c>
      <c r="B21" s="7" t="s">
        <v>108</v>
      </c>
      <c r="C21" s="7" t="s">
        <v>132</v>
      </c>
      <c r="D21" s="7" t="s">
        <v>133</v>
      </c>
      <c r="E21" s="7" t="s">
        <v>69</v>
      </c>
      <c r="F21" s="7" t="s">
        <v>134</v>
      </c>
      <c r="G21" s="7"/>
      <c r="H21" s="7"/>
      <c r="I21" s="7" t="s">
        <v>59</v>
      </c>
      <c r="J21" s="7" t="s">
        <v>4</v>
      </c>
      <c r="K21" s="7"/>
      <c r="L21" s="7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</sheetData>
  <dataValidations count="2">
    <dataValidation allowBlank="true" errorStyle="stop" operator="between" showDropDown="false" showErrorMessage="false" showInputMessage="false" sqref="H2:H70" type="list">
      <formula1>"Pass,Fail,Blocked,Not Executed"</formula1>
      <formula2>0</formula2>
    </dataValidation>
    <dataValidation allowBlank="true" errorStyle="stop" operator="between" showDropDown="false" showErrorMessage="false" showInputMessage="false" sqref="I2:I7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1"/>
  </cols>
  <sheetData>
    <row r="1" customFormat="false" ht="26.85" hidden="false" customHeight="false" outlineLevel="0" collapsed="false">
      <c r="A1" s="6" t="s">
        <v>135</v>
      </c>
      <c r="B1" s="6" t="s">
        <v>136</v>
      </c>
      <c r="C1" s="6" t="s">
        <v>26</v>
      </c>
      <c r="D1" s="6" t="s">
        <v>137</v>
      </c>
      <c r="E1" s="6" t="s">
        <v>138</v>
      </c>
      <c r="F1" s="6" t="s">
        <v>30</v>
      </c>
      <c r="G1" s="6" t="s">
        <v>31</v>
      </c>
      <c r="H1" s="6" t="s">
        <v>139</v>
      </c>
      <c r="I1" s="6" t="s">
        <v>33</v>
      </c>
      <c r="J1" s="6" t="s">
        <v>32</v>
      </c>
      <c r="K1" s="6" t="s">
        <v>140</v>
      </c>
      <c r="L1" s="6" t="s">
        <v>35</v>
      </c>
    </row>
    <row r="2" customFormat="false" ht="54.75" hidden="false" customHeight="true" outlineLevel="0" collapsed="false">
      <c r="A2" s="7" t="s">
        <v>141</v>
      </c>
      <c r="B2" s="7" t="s">
        <v>142</v>
      </c>
      <c r="C2" s="7" t="s">
        <v>66</v>
      </c>
      <c r="D2" s="7" t="s">
        <v>80</v>
      </c>
      <c r="E2" s="7" t="s">
        <v>143</v>
      </c>
      <c r="F2" s="7" t="s">
        <v>144</v>
      </c>
      <c r="G2" s="7" t="s">
        <v>145</v>
      </c>
      <c r="H2" s="7" t="s">
        <v>59</v>
      </c>
      <c r="I2" s="7" t="s">
        <v>43</v>
      </c>
      <c r="J2" s="7" t="s">
        <v>146</v>
      </c>
      <c r="K2" s="7" t="s">
        <v>4</v>
      </c>
      <c r="L2" s="7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</sheetData>
  <dataValidations count="3">
    <dataValidation allowBlank="true" errorStyle="stop" operator="between" showDropDown="false" showErrorMessage="false" showInputMessage="false" sqref="H2:H39" type="list">
      <formula1>"Critical,High,Medium,Low"</formula1>
      <formula2>0</formula2>
    </dataValidation>
    <dataValidation allowBlank="true" errorStyle="stop" operator="between" showDropDown="false" showErrorMessage="false" showInputMessage="false" sqref="I2:I39" type="list">
      <formula1>"High,Medium,Low"</formula1>
      <formula2>0</formula2>
    </dataValidation>
    <dataValidation allowBlank="true" errorStyle="stop" operator="between" showDropDown="false" showErrorMessage="false" showInputMessage="false" sqref="J2:J39" type="list">
      <formula1>"Open,In Progress,Fixed,Retest,Closed,Rejected"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6" t="s">
        <v>147</v>
      </c>
      <c r="B1" s="6" t="s">
        <v>148</v>
      </c>
      <c r="C1" s="6" t="s">
        <v>149</v>
      </c>
      <c r="D1" s="6" t="s">
        <v>32</v>
      </c>
    </row>
    <row r="2" customFormat="false" ht="27.75" hidden="false" customHeight="true" outlineLevel="0" collapsed="false">
      <c r="A2" s="7" t="s">
        <v>150</v>
      </c>
      <c r="B2" s="7" t="s">
        <v>151</v>
      </c>
      <c r="C2" s="7" t="s">
        <v>37</v>
      </c>
      <c r="D2" s="7"/>
    </row>
    <row r="3" customFormat="false" ht="27.75" hidden="false" customHeight="true" outlineLevel="0" collapsed="false">
      <c r="A3" s="7" t="s">
        <v>152</v>
      </c>
      <c r="B3" s="7" t="s">
        <v>153</v>
      </c>
      <c r="C3" s="7" t="s">
        <v>154</v>
      </c>
      <c r="D3" s="7"/>
    </row>
    <row r="4" customFormat="false" ht="27.75" hidden="false" customHeight="true" outlineLevel="0" collapsed="false">
      <c r="A4" s="7" t="s">
        <v>155</v>
      </c>
      <c r="B4" s="7" t="s">
        <v>156</v>
      </c>
      <c r="C4" s="7" t="s">
        <v>157</v>
      </c>
      <c r="D4" s="7"/>
    </row>
    <row r="5" customFormat="false" ht="27.75" hidden="false" customHeight="true" outlineLevel="0" collapsed="false">
      <c r="A5" s="7" t="s">
        <v>158</v>
      </c>
      <c r="B5" s="7" t="s">
        <v>159</v>
      </c>
      <c r="C5" s="7" t="s">
        <v>160</v>
      </c>
      <c r="D5" s="7"/>
    </row>
    <row r="6" customFormat="false" ht="27.75" hidden="false" customHeight="true" outlineLevel="0" collapsed="false">
      <c r="A6" s="7" t="s">
        <v>161</v>
      </c>
      <c r="B6" s="7" t="s">
        <v>162</v>
      </c>
      <c r="C6" s="7" t="s">
        <v>163</v>
      </c>
      <c r="D6" s="7"/>
    </row>
    <row r="7" customFormat="false" ht="27.75" hidden="false" customHeight="true" outlineLevel="0" collapsed="false">
      <c r="A7" s="7" t="s">
        <v>164</v>
      </c>
      <c r="B7" s="7" t="s">
        <v>165</v>
      </c>
      <c r="C7" s="7" t="s">
        <v>166</v>
      </c>
      <c r="D7" s="7"/>
    </row>
    <row r="8" customFormat="false" ht="27.75" hidden="false" customHeight="true" outlineLevel="0" collapsed="false">
      <c r="A8" s="7" t="s">
        <v>167</v>
      </c>
      <c r="B8" s="7" t="s">
        <v>168</v>
      </c>
      <c r="C8" s="7" t="s">
        <v>169</v>
      </c>
      <c r="D8" s="7"/>
    </row>
    <row r="9" customFormat="false" ht="27.75" hidden="false" customHeight="true" outlineLevel="0" collapsed="false">
      <c r="A9" s="7" t="s">
        <v>170</v>
      </c>
      <c r="B9" s="7" t="s">
        <v>171</v>
      </c>
      <c r="C9" s="7" t="s">
        <v>123</v>
      </c>
      <c r="D9" s="7"/>
    </row>
    <row r="10" customFormat="false" ht="27.75" hidden="false" customHeight="true" outlineLevel="0" collapsed="false">
      <c r="A10" s="7" t="s">
        <v>172</v>
      </c>
      <c r="B10" s="7" t="s">
        <v>173</v>
      </c>
      <c r="C10" s="7" t="s">
        <v>174</v>
      </c>
      <c r="D1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9" t="s">
        <v>175</v>
      </c>
    </row>
    <row r="3" customFormat="false" ht="15" hidden="false" customHeight="false" outlineLevel="0" collapsed="false">
      <c r="A3" s="10" t="s">
        <v>176</v>
      </c>
      <c r="B3" s="11" t="n">
        <f aca="false">COUNTA('Test Cases'!A2:A200)-COUNTBLANK('Test Cases'!A2:A200)</f>
        <v>-159</v>
      </c>
    </row>
    <row r="4" customFormat="false" ht="15" hidden="false" customHeight="false" outlineLevel="0" collapsed="false">
      <c r="A4" s="10" t="s">
        <v>177</v>
      </c>
      <c r="B4" s="11" t="n">
        <f aca="false">COUNTIF('Test Cases'!H2:H200,"Pass")</f>
        <v>0</v>
      </c>
    </row>
    <row r="5" customFormat="false" ht="15" hidden="false" customHeight="false" outlineLevel="0" collapsed="false">
      <c r="A5" s="10" t="s">
        <v>178</v>
      </c>
      <c r="B5" s="11" t="n">
        <f aca="false">COUNTIF('Test Cases'!H2:H200,"Fail")</f>
        <v>0</v>
      </c>
    </row>
    <row r="6" customFormat="false" ht="15" hidden="false" customHeight="false" outlineLevel="0" collapsed="false">
      <c r="A6" s="10" t="s">
        <v>179</v>
      </c>
      <c r="B6" s="11" t="n">
        <f aca="false">COUNTIF('Test Cases'!H2:H200,"Blocked")</f>
        <v>0</v>
      </c>
    </row>
    <row r="7" customFormat="false" ht="15" hidden="false" customHeight="false" outlineLevel="0" collapsed="false">
      <c r="A7" s="10" t="s">
        <v>180</v>
      </c>
      <c r="B7" s="11" t="n">
        <f aca="false">COUNTIF('Test Cases'!H2:H200,"Not Executed")</f>
        <v>0</v>
      </c>
    </row>
    <row r="8" customFormat="false" ht="15" hidden="false" customHeight="false" outlineLevel="0" collapsed="false">
      <c r="A8" s="10" t="s">
        <v>181</v>
      </c>
      <c r="B8" s="12" t="n">
        <f aca="false">IFERROR(B4/B3,0)</f>
        <v>-0</v>
      </c>
    </row>
    <row r="9" customFormat="false" ht="15" hidden="false" customHeight="false" outlineLevel="0" collapsed="false">
      <c r="A9" s="10" t="s">
        <v>182</v>
      </c>
      <c r="B9" s="11" t="n">
        <f aca="false">COUNTA('Bug Reports'!A2:A39)-COUNTBLANK('Bug Reports'!A2:A39)</f>
        <v>-36</v>
      </c>
    </row>
    <row r="10" customFormat="false" ht="15" hidden="false" customHeight="false" outlineLevel="0" collapsed="false">
      <c r="A10" s="10" t="s">
        <v>183</v>
      </c>
      <c r="B10" s="11" t="n">
        <f aca="false">COUNTIF('Bug Reports'!H2:H39,"Critical")+COUNTIF('Bug Reports'!H2:H39,"High")</f>
        <v>0</v>
      </c>
    </row>
    <row r="12" customFormat="false" ht="15" hidden="false" customHeight="false" outlineLevel="0" collapsed="false">
      <c r="A12" s="13" t="s">
        <v>184</v>
      </c>
      <c r="B12" s="13"/>
      <c r="C12" s="13"/>
    </row>
  </sheetData>
  <mergeCells count="1"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2026-09-03T11:14:12Z</dcterms:created>
  <dc:creator>openpyxl</dc:creator>
  <dc:description/>
  <dc:language>en-US</dc:language>
  <cp:lastModifiedBy/>
  <dcterms:modified xsi:type="dcterms:W3CDTF">2026-09-03T11:14:12Z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